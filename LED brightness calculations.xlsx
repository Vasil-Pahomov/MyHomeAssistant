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sil\MyDocuments\My\Home Assistant\"/>
    </mc:Choice>
  </mc:AlternateContent>
  <xr:revisionPtr revIDLastSave="0" documentId="8_{E8D153BD-EA3E-4F43-85C6-7ED05561413A}" xr6:coauthVersionLast="47" xr6:coauthVersionMax="47" xr10:uidLastSave="{00000000-0000-0000-0000-000000000000}"/>
  <bookViews>
    <workbookView xWindow="-98" yWindow="-98" windowWidth="28996" windowHeight="15675" xr2:uid="{6ECD523F-D1D9-4B31-A37B-337E9C5C13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1" l="1"/>
  <c r="B7" i="1" s="1"/>
  <c r="B3" i="1"/>
  <c r="B6" i="1" l="1"/>
  <c r="B8" i="1" l="1"/>
  <c r="F29" i="1" s="1"/>
  <c r="F20" i="1"/>
  <c r="F19" i="1"/>
  <c r="F21" i="1" l="1"/>
  <c r="F2" i="1"/>
  <c r="F22" i="1"/>
  <c r="F3" i="1"/>
  <c r="F23" i="1"/>
  <c r="F4" i="1"/>
  <c r="F24" i="1"/>
  <c r="F5" i="1"/>
  <c r="F10" i="1"/>
  <c r="F25" i="1"/>
  <c r="F11" i="1"/>
  <c r="F6" i="1"/>
  <c r="F12" i="1"/>
  <c r="F26" i="1"/>
  <c r="F13" i="1"/>
  <c r="F7" i="1"/>
  <c r="F14" i="1"/>
  <c r="F27" i="1"/>
  <c r="F15" i="1"/>
  <c r="F8" i="1"/>
  <c r="F16" i="1"/>
  <c r="F28" i="1"/>
  <c r="F17" i="1"/>
  <c r="F9" i="1"/>
  <c r="F18" i="1"/>
</calcChain>
</file>

<file path=xl/sharedStrings.xml><?xml version="1.0" encoding="utf-8"?>
<sst xmlns="http://schemas.openxmlformats.org/spreadsheetml/2006/main" count="6" uniqueCount="6">
  <si>
    <t>x</t>
  </si>
  <si>
    <t>y</t>
  </si>
  <si>
    <t>dv</t>
  </si>
  <si>
    <t>pa</t>
  </si>
  <si>
    <t>pb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</si>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</sst>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Лист1!$F$1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Лист1!$E$2:$E$29</c:f>
              <c:numCache>
                <c:formatCode>General</c:formatCode>
                <c:ptCount val="28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1.1000000000000001</c:v>
                </c:pt>
                <c:pt idx="7">
                  <c:v>1.2</c:v>
                </c:pt>
                <c:pt idx="8">
                  <c:v>1.3</c:v>
                </c:pt>
                <c:pt idx="9">
                  <c:v>1.4</c:v>
                </c:pt>
                <c:pt idx="10">
                  <c:v>1.5</c:v>
                </c:pt>
                <c:pt idx="11">
                  <c:v>1.6</c:v>
                </c:pt>
                <c:pt idx="12">
                  <c:v>1.7</c:v>
                </c:pt>
                <c:pt idx="13">
                  <c:v>1.8</c:v>
                </c:pt>
                <c:pt idx="14">
                  <c:v>1.9</c:v>
                </c:pt>
                <c:pt idx="15">
                  <c:v>2</c:v>
                </c:pt>
                <c:pt idx="16">
                  <c:v>2.1</c:v>
                </c:pt>
                <c:pt idx="17">
                  <c:v>2.2000000000000002</c:v>
                </c:pt>
                <c:pt idx="18">
                  <c:v>2.2999999999999998</c:v>
                </c:pt>
                <c:pt idx="19">
                  <c:v>2.4</c:v>
                </c:pt>
                <c:pt idx="20">
                  <c:v>2.5</c:v>
                </c:pt>
                <c:pt idx="21">
                  <c:v>2.6</c:v>
                </c:pt>
                <c:pt idx="22">
                  <c:v>2.7</c:v>
                </c:pt>
                <c:pt idx="23">
                  <c:v>2.8</c:v>
                </c:pt>
                <c:pt idx="24">
                  <c:v>2.9</c:v>
                </c:pt>
                <c:pt idx="25">
                  <c:v>3</c:v>
                </c:pt>
                <c:pt idx="26">
                  <c:v>3.1</c:v>
                </c:pt>
                <c:pt idx="27">
                  <c:v>3.2</c:v>
                </c:pt>
              </c:numCache>
            </c:numRef>
          </c:cat>
          <c:val>
            <c:numRef>
              <c:f>Лист1!$F$2:$F$29</c:f>
              <c:numCache>
                <c:formatCode>General</c:formatCode>
                <c:ptCount val="28"/>
                <c:pt idx="0">
                  <c:v>1</c:v>
                </c:pt>
                <c:pt idx="1">
                  <c:v>0.92807672311348788</c:v>
                </c:pt>
                <c:pt idx="2">
                  <c:v>0.85884581105169344</c:v>
                </c:pt>
                <c:pt idx="3">
                  <c:v>0.79230726381461669</c:v>
                </c:pt>
                <c:pt idx="4">
                  <c:v>0.72846108140225774</c:v>
                </c:pt>
                <c:pt idx="5">
                  <c:v>0.66730726381461669</c:v>
                </c:pt>
                <c:pt idx="6">
                  <c:v>0.60884581105169333</c:v>
                </c:pt>
                <c:pt idx="7">
                  <c:v>0.55307672311348788</c:v>
                </c:pt>
                <c:pt idx="8">
                  <c:v>0.5</c:v>
                </c:pt>
                <c:pt idx="9">
                  <c:v>0.44961564171122992</c:v>
                </c:pt>
                <c:pt idx="10">
                  <c:v>0.40192364824717752</c:v>
                </c:pt>
                <c:pt idx="11">
                  <c:v>0.35692401960784315</c:v>
                </c:pt>
                <c:pt idx="12">
                  <c:v>0.31461675579322623</c:v>
                </c:pt>
                <c:pt idx="13">
                  <c:v>0.27500185680332723</c:v>
                </c:pt>
                <c:pt idx="14">
                  <c:v>0.23807932263814635</c:v>
                </c:pt>
                <c:pt idx="15">
                  <c:v>0.20384915329768249</c:v>
                </c:pt>
                <c:pt idx="16">
                  <c:v>0.17231134878193677</c:v>
                </c:pt>
                <c:pt idx="17">
                  <c:v>0.14346590909090895</c:v>
                </c:pt>
                <c:pt idx="18">
                  <c:v>0.11731283422459882</c:v>
                </c:pt>
                <c:pt idx="19">
                  <c:v>9.3852124183006591E-2</c:v>
                </c:pt>
                <c:pt idx="20">
                  <c:v>7.3083778966131829E-2</c:v>
                </c:pt>
                <c:pt idx="21">
                  <c:v>5.5007798573974975E-2</c:v>
                </c:pt>
                <c:pt idx="22">
                  <c:v>3.9624183006535585E-2</c:v>
                </c:pt>
                <c:pt idx="23">
                  <c:v>2.6932932263814546E-2</c:v>
                </c:pt>
                <c:pt idx="24">
                  <c:v>1.6934046345810749E-2</c:v>
                </c:pt>
                <c:pt idx="25">
                  <c:v>9.6275252525250821E-3</c:v>
                </c:pt>
                <c:pt idx="26">
                  <c:v>5.0133689839573226E-3</c:v>
                </c:pt>
                <c:pt idx="27">
                  <c:v>3.0915775401068046E-3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5-4CA3-84CB-91B4B175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278816"/>
        <c:axId val="74279232"/>
      </c:lineChart>
      <c:catAx>
        <c:axId val="7427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9232"/>
        <c:crosses val="autoZero"/>
        <c:auto val="1"/>
        <c:lblAlgn val="ctr"/>
        <c:lblOffset val="100"/>
        <c:noMultiLvlLbl val="0"/>
      </c:catAx>
      <c:valAx>
        <c:axId val="7427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27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364331</xdr:colOff>
      <xdr:row>10</xdr:row>
      <xdr:rowOff>173831</xdr:rowOff>
    </xdr:from>
    <xdr:to>
      <xdr:col>15</xdr:col>
      <xdr:colOff>402431</xdr:colOff>
      <xdr:row>26</xdr:row>
      <xdr:rowOff>21431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C835DBD-BA8D-4DA7-B982-1C865667DD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0DA83-8D78-4725-8440-66C4F3FF9F58}">
  <dimension ref="A1:F29"/>
  <sheetViews>
    <sheetView tabSelected="1" workbookViewId="0">
      <selection activeCell="A3" sqref="A3"/>
    </sheetView>
  </sheetViews>
  <sheetFormatPr defaultRowHeight="14.25" x14ac:dyDescent="0.45"/>
  <sheetData>
    <row r="1" spans="1:6" x14ac:dyDescent="0.45">
      <c r="A1">
        <v>0.5</v>
      </c>
      <c r="B1">
        <v>1</v>
      </c>
      <c r="E1" t="s">
        <v>0</v>
      </c>
      <c r="F1" t="s">
        <v>1</v>
      </c>
    </row>
    <row r="2" spans="1:6" x14ac:dyDescent="0.45">
      <c r="A2">
        <v>1.3</v>
      </c>
      <c r="B2">
        <v>0.5</v>
      </c>
      <c r="E2">
        <v>0.5</v>
      </c>
      <c r="F2">
        <f>$B$6*E2*E2+$B$7*E2+$B$8</f>
        <v>1</v>
      </c>
    </row>
    <row r="3" spans="1:6" x14ac:dyDescent="0.45">
      <c r="A3">
        <v>3.14</v>
      </c>
      <c r="B3">
        <f>1/255</f>
        <v>3.9215686274509803E-3</v>
      </c>
      <c r="E3">
        <v>0.6</v>
      </c>
      <c r="F3">
        <f t="shared" ref="F3:F29" si="0">$B$6*E3*E3+$B$7*E3+$B$8</f>
        <v>0.92807672311348788</v>
      </c>
    </row>
    <row r="4" spans="1:6" x14ac:dyDescent="0.45">
      <c r="E4">
        <v>0.7</v>
      </c>
      <c r="F4">
        <f t="shared" si="0"/>
        <v>0.85884581105169344</v>
      </c>
    </row>
    <row r="5" spans="1:6" x14ac:dyDescent="0.45">
      <c r="A5" t="s">
        <v>2</v>
      </c>
      <c r="B5">
        <f>(A1-A2)*(A1-A3)*(A2-A3)</f>
        <v>-3.8860800000000002</v>
      </c>
      <c r="E5">
        <v>0.8</v>
      </c>
      <c r="F5">
        <f t="shared" si="0"/>
        <v>0.79230726381461669</v>
      </c>
    </row>
    <row r="6" spans="1:6" x14ac:dyDescent="0.45">
      <c r="A6" t="s">
        <v>3</v>
      </c>
      <c r="B6">
        <f>(B1*(A2-A3)-B2*(A1-A3)+B3*(A1-A2))/B5</f>
        <v>0.13461824123588831</v>
      </c>
      <c r="E6">
        <v>0.9</v>
      </c>
      <c r="F6">
        <f t="shared" si="0"/>
        <v>0.72846108140225774</v>
      </c>
    </row>
    <row r="7" spans="1:6" x14ac:dyDescent="0.45">
      <c r="A7" t="s">
        <v>4</v>
      </c>
      <c r="B7">
        <f>(B1*(A3*A3-A2*A2)+B2*(A1*A1-A3*A3)+B3*(A2*A2-A1*A1))/B5</f>
        <v>-0.86731283422459904</v>
      </c>
      <c r="E7">
        <v>1</v>
      </c>
      <c r="F7">
        <f t="shared" si="0"/>
        <v>0.66730726381461669</v>
      </c>
    </row>
    <row r="8" spans="1:6" x14ac:dyDescent="0.45">
      <c r="A8" t="s">
        <v>5</v>
      </c>
      <c r="B8">
        <f>B1-B6*A1*A1-B7*A1</f>
        <v>1.4000018568033274</v>
      </c>
      <c r="E8">
        <v>1.1000000000000001</v>
      </c>
      <c r="F8">
        <f t="shared" si="0"/>
        <v>0.60884581105169333</v>
      </c>
    </row>
    <row r="9" spans="1:6" x14ac:dyDescent="0.45">
      <c r="E9">
        <v>1.2</v>
      </c>
      <c r="F9">
        <f t="shared" si="0"/>
        <v>0.55307672311348788</v>
      </c>
    </row>
    <row r="10" spans="1:6" x14ac:dyDescent="0.45">
      <c r="E10">
        <v>1.3</v>
      </c>
      <c r="F10">
        <f t="shared" si="0"/>
        <v>0.5</v>
      </c>
    </row>
    <row r="11" spans="1:6" x14ac:dyDescent="0.45">
      <c r="E11">
        <v>1.4</v>
      </c>
      <c r="F11">
        <f t="shared" si="0"/>
        <v>0.44961564171122992</v>
      </c>
    </row>
    <row r="12" spans="1:6" x14ac:dyDescent="0.45">
      <c r="E12">
        <v>1.5</v>
      </c>
      <c r="F12">
        <f t="shared" si="0"/>
        <v>0.40192364824717752</v>
      </c>
    </row>
    <row r="13" spans="1:6" x14ac:dyDescent="0.45">
      <c r="E13">
        <v>1.6</v>
      </c>
      <c r="F13">
        <f t="shared" si="0"/>
        <v>0.35692401960784315</v>
      </c>
    </row>
    <row r="14" spans="1:6" x14ac:dyDescent="0.45">
      <c r="E14">
        <v>1.7</v>
      </c>
      <c r="F14">
        <f t="shared" si="0"/>
        <v>0.31461675579322623</v>
      </c>
    </row>
    <row r="15" spans="1:6" x14ac:dyDescent="0.45">
      <c r="E15">
        <v>1.8</v>
      </c>
      <c r="F15">
        <f t="shared" si="0"/>
        <v>0.27500185680332723</v>
      </c>
    </row>
    <row r="16" spans="1:6" x14ac:dyDescent="0.45">
      <c r="E16">
        <v>1.9</v>
      </c>
      <c r="F16">
        <f t="shared" si="0"/>
        <v>0.23807932263814635</v>
      </c>
    </row>
    <row r="17" spans="5:6" x14ac:dyDescent="0.45">
      <c r="E17">
        <v>2</v>
      </c>
      <c r="F17">
        <f t="shared" si="0"/>
        <v>0.20384915329768249</v>
      </c>
    </row>
    <row r="18" spans="5:6" x14ac:dyDescent="0.45">
      <c r="E18">
        <v>2.1</v>
      </c>
      <c r="F18">
        <f t="shared" si="0"/>
        <v>0.17231134878193677</v>
      </c>
    </row>
    <row r="19" spans="5:6" x14ac:dyDescent="0.45">
      <c r="E19">
        <v>2.2000000000000002</v>
      </c>
      <c r="F19">
        <f t="shared" si="0"/>
        <v>0.14346590909090895</v>
      </c>
    </row>
    <row r="20" spans="5:6" x14ac:dyDescent="0.45">
      <c r="E20">
        <v>2.2999999999999998</v>
      </c>
      <c r="F20">
        <f t="shared" si="0"/>
        <v>0.11731283422459882</v>
      </c>
    </row>
    <row r="21" spans="5:6" x14ac:dyDescent="0.45">
      <c r="E21">
        <v>2.4</v>
      </c>
      <c r="F21">
        <f t="shared" si="0"/>
        <v>9.3852124183006591E-2</v>
      </c>
    </row>
    <row r="22" spans="5:6" x14ac:dyDescent="0.45">
      <c r="E22">
        <v>2.5</v>
      </c>
      <c r="F22">
        <f t="shared" si="0"/>
        <v>7.3083778966131829E-2</v>
      </c>
    </row>
    <row r="23" spans="5:6" x14ac:dyDescent="0.45">
      <c r="E23">
        <v>2.6</v>
      </c>
      <c r="F23">
        <f t="shared" si="0"/>
        <v>5.5007798573974975E-2</v>
      </c>
    </row>
    <row r="24" spans="5:6" x14ac:dyDescent="0.45">
      <c r="E24">
        <v>2.7</v>
      </c>
      <c r="F24">
        <f t="shared" si="0"/>
        <v>3.9624183006535585E-2</v>
      </c>
    </row>
    <row r="25" spans="5:6" x14ac:dyDescent="0.45">
      <c r="E25">
        <v>2.8</v>
      </c>
      <c r="F25">
        <f t="shared" si="0"/>
        <v>2.6932932263814546E-2</v>
      </c>
    </row>
    <row r="26" spans="5:6" x14ac:dyDescent="0.45">
      <c r="E26">
        <v>2.9</v>
      </c>
      <c r="F26">
        <f t="shared" si="0"/>
        <v>1.6934046345810749E-2</v>
      </c>
    </row>
    <row r="27" spans="5:6" x14ac:dyDescent="0.45">
      <c r="E27">
        <v>3</v>
      </c>
      <c r="F27">
        <f t="shared" si="0"/>
        <v>9.6275252525250821E-3</v>
      </c>
    </row>
    <row r="28" spans="5:6" x14ac:dyDescent="0.45">
      <c r="E28">
        <v>3.1</v>
      </c>
      <c r="F28">
        <f t="shared" si="0"/>
        <v>5.0133689839573226E-3</v>
      </c>
    </row>
    <row r="29" spans="5:6" x14ac:dyDescent="0.45">
      <c r="E29">
        <v>3.2</v>
      </c>
      <c r="F29">
        <f t="shared" si="0"/>
        <v>3.0915775401068046E-3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 Pahomov</dc:creator>
  <cp:lastModifiedBy>Vasil Pahomov</cp:lastModifiedBy>
  <dcterms:created xsi:type="dcterms:W3CDTF">2025-12-09T07:45:44Z</dcterms:created>
  <dcterms:modified xsi:type="dcterms:W3CDTF">2025-12-09T07:54:58Z</dcterms:modified>
</cp:coreProperties>
</file>